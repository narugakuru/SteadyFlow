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Note\各种记录\"/>
    </mc:Choice>
  </mc:AlternateContent>
  <xr:revisionPtr revIDLastSave="0" documentId="13_ncr:1_{5E7B6149-0B33-4290-8A89-5F40D903DAAB}" xr6:coauthVersionLast="47" xr6:coauthVersionMax="47" xr10:uidLastSave="{00000000-0000-0000-0000-000000000000}"/>
  <bookViews>
    <workbookView xWindow="-103" yWindow="-103" windowWidth="22149" windowHeight="13200" xr2:uid="{39E58844-8D5F-44CD-8F87-24F85FA111FB}"/>
  </bookViews>
  <sheets>
    <sheet name="Dashboard" sheetId="4" r:id="rId1"/>
    <sheet name="总资产" sheetId="7" r:id="rId2"/>
    <sheet name="各项收益率" sheetId="9" r:id="rId3"/>
    <sheet name="资产比例" sheetId="8" r:id="rId4"/>
    <sheet name="History" sheetId="6" r:id="rId5"/>
    <sheet name="股票明细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4" l="1"/>
  <c r="H6" i="4" s="1"/>
  <c r="D5" i="4"/>
  <c r="Q2" i="6"/>
  <c r="D2" i="4" l="1"/>
  <c r="D6" i="4" l="1"/>
  <c r="E2" i="4" s="1"/>
  <c r="F2" i="4" s="1"/>
  <c r="G2" i="4" l="1"/>
  <c r="D7" i="4"/>
  <c r="H7" i="4" s="1"/>
  <c r="E3" i="4"/>
  <c r="F3" i="4" s="1"/>
  <c r="G3" i="4" s="1"/>
  <c r="E4" i="4"/>
  <c r="F4" i="4" s="1"/>
  <c r="G4" i="4" s="1"/>
  <c r="E5" i="4"/>
  <c r="F5" i="4" s="1"/>
  <c r="G5" i="4" s="1"/>
  <c r="F6" i="4" l="1"/>
</calcChain>
</file>

<file path=xl/sharedStrings.xml><?xml version="1.0" encoding="utf-8"?>
<sst xmlns="http://schemas.openxmlformats.org/spreadsheetml/2006/main" count="71" uniqueCount="57">
  <si>
    <t>再平衡阈值</t>
  </si>
  <si>
    <t>目标配置比例</t>
  </si>
  <si>
    <t>当前持仓市值</t>
  </si>
  <si>
    <t>偏差值</t>
  </si>
  <si>
    <t>基金名称</t>
  </si>
  <si>
    <t>股票</t>
    <phoneticPr fontId="1" type="noConversion"/>
  </si>
  <si>
    <t>债券</t>
    <phoneticPr fontId="1" type="noConversion"/>
  </si>
  <si>
    <t>黄金</t>
    <phoneticPr fontId="1" type="noConversion"/>
  </si>
  <si>
    <t>现金</t>
    <phoneticPr fontId="1" type="noConversion"/>
  </si>
  <si>
    <t>类别</t>
  </si>
  <si>
    <t>代码</t>
  </si>
  <si>
    <t>当前占比</t>
  </si>
  <si>
    <t>日期</t>
  </si>
  <si>
    <t>股票市值</t>
  </si>
  <si>
    <t>债券市值</t>
  </si>
  <si>
    <t>黄金市值</t>
  </si>
  <si>
    <t>现金市值</t>
  </si>
  <si>
    <t>总资产</t>
  </si>
  <si>
    <t>收益率</t>
    <phoneticPr fontId="1" type="noConversion"/>
  </si>
  <si>
    <t>市值合计</t>
    <phoneticPr fontId="1" type="noConversion"/>
  </si>
  <si>
    <t>累计收益</t>
    <phoneticPr fontId="1" type="noConversion"/>
  </si>
  <si>
    <t>状态</t>
    <phoneticPr fontId="1" type="noConversion"/>
  </si>
  <si>
    <t>总偏差</t>
    <phoneticPr fontId="1" type="noConversion"/>
  </si>
  <si>
    <t>新增/取出 资金</t>
    <phoneticPr fontId="1" type="noConversion"/>
  </si>
  <si>
    <r>
      <t>1.      确定各项资产目标配置比例，填入</t>
    </r>
    <r>
      <rPr>
        <b/>
        <sz val="11"/>
        <color theme="1"/>
        <rFont val="更纱黑体 UI SC"/>
        <family val="3"/>
        <charset val="134"/>
      </rPr>
      <t>基金名称</t>
    </r>
    <r>
      <rPr>
        <sz val="11"/>
        <color theme="1"/>
        <rFont val="更纱黑体 UI SC"/>
        <family val="3"/>
        <charset val="134"/>
      </rPr>
      <t>，</t>
    </r>
    <r>
      <rPr>
        <b/>
        <sz val="11"/>
        <color theme="1"/>
        <rFont val="更纱黑体 UI SC"/>
        <family val="3"/>
        <charset val="134"/>
      </rPr>
      <t>代码</t>
    </r>
    <r>
      <rPr>
        <sz val="11"/>
        <color theme="1"/>
        <rFont val="更纱黑体 UI SC"/>
        <family val="3"/>
        <charset val="134"/>
      </rPr>
      <t>，</t>
    </r>
    <r>
      <rPr>
        <b/>
        <sz val="11"/>
        <color theme="1"/>
        <rFont val="更纱黑体 UI SC"/>
        <family val="3"/>
        <charset val="134"/>
      </rPr>
      <t>持仓市值</t>
    </r>
    <r>
      <rPr>
        <sz val="11"/>
        <color theme="1"/>
        <rFont val="更纱黑体 UI SC"/>
        <family val="3"/>
        <charset val="134"/>
      </rPr>
      <t>和</t>
    </r>
    <r>
      <rPr>
        <b/>
        <sz val="11"/>
        <color theme="1"/>
        <rFont val="更纱黑体 UI SC"/>
        <family val="3"/>
        <charset val="134"/>
      </rPr>
      <t>本金金额</t>
    </r>
    <phoneticPr fontId="1" type="noConversion"/>
  </si>
  <si>
    <r>
      <t>2.      每日根据基金软件信息，更新</t>
    </r>
    <r>
      <rPr>
        <b/>
        <sz val="11"/>
        <color theme="1"/>
        <rFont val="更纱黑体 UI SC"/>
        <family val="3"/>
        <charset val="134"/>
      </rPr>
      <t>当前持仓市值</t>
    </r>
    <r>
      <rPr>
        <sz val="11"/>
        <color theme="1"/>
        <rFont val="更纱黑体 UI SC"/>
        <family val="3"/>
        <charset val="134"/>
      </rPr>
      <t>，完成后点击</t>
    </r>
    <r>
      <rPr>
        <b/>
        <sz val="11"/>
        <color theme="1"/>
        <rFont val="更纱黑体 UI SC"/>
        <family val="3"/>
        <charset val="134"/>
      </rPr>
      <t>记录净值</t>
    </r>
    <phoneticPr fontId="1" type="noConversion"/>
  </si>
  <si>
    <r>
      <t>3.      当有新的资金买入或者需要取用时，在</t>
    </r>
    <r>
      <rPr>
        <b/>
        <sz val="11"/>
        <color theme="1"/>
        <rFont val="更纱黑体 UI SC"/>
        <family val="3"/>
        <charset val="134"/>
      </rPr>
      <t>新增/取出 资金</t>
    </r>
    <r>
      <rPr>
        <sz val="11"/>
        <color theme="1"/>
        <rFont val="更纱黑体 UI SC"/>
        <family val="3"/>
        <charset val="134"/>
      </rPr>
      <t>处输入金额，点击</t>
    </r>
    <r>
      <rPr>
        <b/>
        <sz val="11"/>
        <color theme="1"/>
        <rFont val="更纱黑体 UI SC"/>
        <family val="3"/>
        <charset val="134"/>
      </rPr>
      <t>智能买卖</t>
    </r>
    <r>
      <rPr>
        <sz val="11"/>
        <color theme="1"/>
        <rFont val="更纱黑体 UI SC"/>
        <family val="3"/>
        <charset val="134"/>
      </rPr>
      <t>.</t>
    </r>
    <phoneticPr fontId="1" type="noConversion"/>
  </si>
  <si>
    <r>
      <t xml:space="preserve">3.1    </t>
    </r>
    <r>
      <rPr>
        <b/>
        <sz val="11"/>
        <color theme="1"/>
        <rFont val="更纱黑体 UI SC"/>
        <family val="3"/>
        <charset val="134"/>
      </rPr>
      <t>智能买卖</t>
    </r>
    <r>
      <rPr>
        <sz val="11"/>
        <color theme="1"/>
        <rFont val="更纱黑体 UI SC"/>
        <family val="3"/>
        <charset val="134"/>
      </rPr>
      <t>：当总偏差为</t>
    </r>
    <r>
      <rPr>
        <b/>
        <sz val="11"/>
        <color theme="1"/>
        <rFont val="更纱黑体 UI SC"/>
        <family val="3"/>
        <charset val="134"/>
      </rPr>
      <t>紫色</t>
    </r>
    <r>
      <rPr>
        <sz val="11"/>
        <color theme="1"/>
        <rFont val="更纱黑体 UI SC"/>
        <family val="3"/>
        <charset val="134"/>
      </rPr>
      <t>时，会执行</t>
    </r>
    <r>
      <rPr>
        <b/>
        <sz val="11"/>
        <color theme="1"/>
        <rFont val="更纱黑体 UI SC"/>
        <family val="3"/>
        <charset val="134"/>
      </rPr>
      <t>平均买卖</t>
    </r>
    <r>
      <rPr>
        <sz val="11"/>
        <color theme="1"/>
        <rFont val="更纱黑体 UI SC"/>
        <family val="3"/>
        <charset val="134"/>
      </rPr>
      <t>，当总偏差为</t>
    </r>
    <r>
      <rPr>
        <b/>
        <sz val="11"/>
        <color theme="1"/>
        <rFont val="更纱黑体 UI SC"/>
        <family val="3"/>
        <charset val="134"/>
      </rPr>
      <t>蓝色</t>
    </r>
    <r>
      <rPr>
        <sz val="11"/>
        <color theme="1"/>
        <rFont val="更纱黑体 UI SC"/>
        <family val="3"/>
        <charset val="134"/>
      </rPr>
      <t>时，则会执行</t>
    </r>
    <r>
      <rPr>
        <b/>
        <sz val="11"/>
        <color theme="1"/>
        <rFont val="更纱黑体 UI SC"/>
        <family val="3"/>
        <charset val="134"/>
      </rPr>
      <t>填坑买卖</t>
    </r>
    <r>
      <rPr>
        <sz val="11"/>
        <color theme="1"/>
        <rFont val="更纱黑体 UI SC"/>
        <family val="3"/>
        <charset val="134"/>
      </rPr>
      <t>。</t>
    </r>
    <phoneticPr fontId="1" type="noConversion"/>
  </si>
  <si>
    <t>本金金额</t>
    <phoneticPr fontId="1" type="noConversion"/>
  </si>
  <si>
    <t>股票本金</t>
  </si>
  <si>
    <t>债券本金</t>
  </si>
  <si>
    <t>黄金本金</t>
  </si>
  <si>
    <t>现金本金</t>
  </si>
  <si>
    <t>总本金</t>
  </si>
  <si>
    <t>股票收益</t>
  </si>
  <si>
    <t>债券收益</t>
  </si>
  <si>
    <t>黄金收益</t>
  </si>
  <si>
    <t>现金收益</t>
  </si>
  <si>
    <t>总收益</t>
  </si>
  <si>
    <t>当日收益</t>
    <phoneticPr fontId="1" type="noConversion"/>
  </si>
  <si>
    <t>使用说明：</t>
    <phoneticPr fontId="1" type="noConversion"/>
  </si>
  <si>
    <t>联接</t>
    <phoneticPr fontId="1" type="noConversion"/>
  </si>
  <si>
    <t>货币</t>
    <phoneticPr fontId="1" type="noConversion"/>
  </si>
  <si>
    <t>000000</t>
  </si>
  <si>
    <t>000000</t>
    <phoneticPr fontId="1" type="noConversion"/>
  </si>
  <si>
    <r>
      <t>2.1.   若某一基金状态为“</t>
    </r>
    <r>
      <rPr>
        <sz val="11"/>
        <color rgb="FF7B1315"/>
        <rFont val="更纱黑体 UI SC"/>
        <family val="3"/>
        <charset val="134"/>
      </rPr>
      <t>⚠ 平衡</t>
    </r>
    <r>
      <rPr>
        <sz val="11"/>
        <color theme="1"/>
        <rFont val="更纱黑体 UI SC"/>
        <family val="3"/>
        <charset val="134"/>
      </rPr>
      <t>”，则点击</t>
    </r>
    <r>
      <rPr>
        <b/>
        <sz val="11"/>
        <color theme="1"/>
        <rFont val="更纱黑体 UI SC"/>
        <family val="3"/>
        <charset val="134"/>
      </rPr>
      <t>再平衡</t>
    </r>
    <r>
      <rPr>
        <sz val="11"/>
        <color theme="1"/>
        <rFont val="更纱黑体 UI SC"/>
        <family val="3"/>
        <charset val="134"/>
      </rPr>
      <t>按钮，根据弹窗的金额在基金软件执行操作，完成后</t>
    </r>
    <r>
      <rPr>
        <b/>
        <sz val="11"/>
        <color theme="1"/>
        <rFont val="更纱黑体 UI SC"/>
        <family val="3"/>
        <charset val="134"/>
      </rPr>
      <t>记录</t>
    </r>
    <r>
      <rPr>
        <sz val="11"/>
        <color theme="1"/>
        <rFont val="更纱黑体 UI SC"/>
        <family val="3"/>
        <charset val="134"/>
      </rPr>
      <t>.</t>
    </r>
    <phoneticPr fontId="1" type="noConversion"/>
  </si>
  <si>
    <t>余额宝/短债</t>
    <phoneticPr fontId="1" type="noConversion"/>
  </si>
  <si>
    <t>子分类</t>
  </si>
  <si>
    <t>A股</t>
  </si>
  <si>
    <t>港股</t>
  </si>
  <si>
    <t>美股</t>
  </si>
  <si>
    <t>纳指ETF联接</t>
  </si>
  <si>
    <t>基金名称</t>
    <phoneticPr fontId="1" type="noConversion"/>
  </si>
  <si>
    <t>中国神华</t>
    <phoneticPr fontId="1" type="noConversion"/>
  </si>
  <si>
    <t>纳指100ETF</t>
    <phoneticPr fontId="1" type="noConversion"/>
  </si>
  <si>
    <t>QQQM</t>
    <phoneticPr fontId="1" type="noConversion"/>
  </si>
  <si>
    <t>QQQ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</si>
</sst>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_ "/>
    <numFmt numFmtId="177" formatCode="0.00_ "/>
  </numFmts>
  <fonts count="2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Arial"/>
      <family val="2"/>
    </font>
    <font>
      <b/>
      <sz val="11"/>
      <color theme="0"/>
      <name val="微软雅黑"/>
      <family val="2"/>
      <charset val="134"/>
    </font>
    <font>
      <b/>
      <sz val="11"/>
      <color theme="0"/>
      <name val="更纱黑体 UI SC"/>
      <family val="3"/>
      <charset val="134"/>
    </font>
    <font>
      <b/>
      <sz val="11"/>
      <color rgb="FF1F1F1F"/>
      <name val="更纱黑体 UI SC"/>
      <family val="3"/>
      <charset val="134"/>
    </font>
    <font>
      <sz val="10"/>
      <color rgb="FF444746"/>
      <name val="更纱黑体 UI SC"/>
      <family val="3"/>
      <charset val="134"/>
    </font>
    <font>
      <b/>
      <sz val="11"/>
      <color rgb="FF444746"/>
      <name val="更纱黑体 UI SC"/>
      <family val="3"/>
      <charset val="134"/>
    </font>
    <font>
      <sz val="12"/>
      <color rgb="FF1F1F1F"/>
      <name val="更纱黑体 UI SC"/>
      <family val="3"/>
      <charset val="134"/>
    </font>
    <font>
      <b/>
      <sz val="12"/>
      <color rgb="FF1F1F1F"/>
      <name val="更纱黑体 UI SC"/>
      <family val="3"/>
      <charset val="134"/>
    </font>
    <font>
      <b/>
      <sz val="12"/>
      <color theme="0"/>
      <name val="更纱黑体 UI SC"/>
      <family val="3"/>
      <charset val="134"/>
    </font>
    <font>
      <sz val="12"/>
      <color theme="1"/>
      <name val="等线"/>
      <family val="2"/>
      <charset val="134"/>
      <scheme val="minor"/>
    </font>
    <font>
      <b/>
      <sz val="11"/>
      <name val="更纱黑体 UI SC"/>
      <family val="3"/>
      <charset val="134"/>
    </font>
    <font>
      <sz val="16"/>
      <color theme="1"/>
      <name val="更纱黑体 UI SC"/>
      <family val="3"/>
      <charset val="134"/>
    </font>
    <font>
      <sz val="11"/>
      <color theme="1"/>
      <name val="更纱黑体 UI SC"/>
      <family val="3"/>
      <charset val="134"/>
    </font>
    <font>
      <b/>
      <sz val="11"/>
      <color theme="1"/>
      <name val="更纱黑体 UI SC"/>
      <family val="3"/>
      <charset val="134"/>
    </font>
    <font>
      <sz val="11"/>
      <color rgb="FF7B1315"/>
      <name val="更纱黑体 UI SC"/>
      <family val="3"/>
      <charset val="134"/>
    </font>
    <font>
      <b/>
      <sz val="16"/>
      <color theme="0"/>
      <name val="更纱黑体 UI SC"/>
      <family val="3"/>
      <charset val="134"/>
    </font>
    <font>
      <sz val="11"/>
      <color theme="0" tint="-0.34998626667073579"/>
      <name val="更纱黑体 UI SC"/>
      <family val="3"/>
      <charset val="134"/>
    </font>
    <font>
      <sz val="16"/>
      <name val="更纱黑体 UI SC"/>
      <family val="3"/>
      <charset val="134"/>
    </font>
    <font>
      <sz val="9"/>
      <color rgb="FF1F1F1F"/>
      <name val="Microsoft YaHei UI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7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theme="7" tint="0.79998168889431442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 wrapText="1" readingOrder="1"/>
    </xf>
    <xf numFmtId="176" fontId="8" fillId="3" borderId="1" xfId="0" applyNumberFormat="1" applyFont="1" applyFill="1" applyBorder="1" applyAlignment="1">
      <alignment vertical="center" wrapText="1" readingOrder="1"/>
    </xf>
    <xf numFmtId="10" fontId="6" fillId="2" borderId="1" xfId="0" applyNumberFormat="1" applyFont="1" applyFill="1" applyBorder="1" applyAlignment="1">
      <alignment horizontal="center" vertical="center" wrapText="1" readingOrder="1"/>
    </xf>
    <xf numFmtId="0" fontId="6" fillId="2" borderId="1" xfId="0" applyFont="1" applyFill="1" applyBorder="1" applyAlignment="1">
      <alignment horizontal="center" vertical="center" wrapText="1" readingOrder="1"/>
    </xf>
    <xf numFmtId="0" fontId="5" fillId="3" borderId="1" xfId="0" applyFont="1" applyFill="1" applyBorder="1" applyAlignment="1">
      <alignment horizontal="center" vertical="center" wrapText="1" readingOrder="1"/>
    </xf>
    <xf numFmtId="10" fontId="6" fillId="3" borderId="1" xfId="0" applyNumberFormat="1" applyFont="1" applyFill="1" applyBorder="1" applyAlignment="1">
      <alignment horizontal="center" vertical="center" wrapText="1" readingOrder="1"/>
    </xf>
    <xf numFmtId="176" fontId="9" fillId="2" borderId="1" xfId="0" applyNumberFormat="1" applyFont="1" applyFill="1" applyBorder="1" applyAlignment="1">
      <alignment vertical="center" readingOrder="1"/>
    </xf>
    <xf numFmtId="9" fontId="7" fillId="0" borderId="1" xfId="0" applyNumberFormat="1" applyFont="1" applyBorder="1" applyAlignment="1">
      <alignment horizontal="center" vertical="center" wrapText="1" readingOrder="1"/>
    </xf>
    <xf numFmtId="49" fontId="12" fillId="3" borderId="1" xfId="0" applyNumberFormat="1" applyFont="1" applyFill="1" applyBorder="1" applyAlignment="1">
      <alignment vertical="center" wrapText="1" readingOrder="1"/>
    </xf>
    <xf numFmtId="10" fontId="6" fillId="2" borderId="1" xfId="0" applyNumberFormat="1" applyFont="1" applyFill="1" applyBorder="1" applyAlignment="1">
      <alignment horizontal="right" vertical="center" wrapText="1" readingOrder="1"/>
    </xf>
    <xf numFmtId="10" fontId="6" fillId="3" borderId="1" xfId="0" applyNumberFormat="1" applyFont="1" applyFill="1" applyBorder="1" applyAlignment="1">
      <alignment horizontal="right" vertical="center" wrapText="1" readingOrder="1"/>
    </xf>
    <xf numFmtId="49" fontId="18" fillId="2" borderId="1" xfId="0" applyNumberFormat="1" applyFont="1" applyFill="1" applyBorder="1" applyAlignment="1">
      <alignment horizontal="center" vertical="center" wrapText="1" readingOrder="1"/>
    </xf>
    <xf numFmtId="49" fontId="18" fillId="3" borderId="1" xfId="0" applyNumberFormat="1" applyFont="1" applyFill="1" applyBorder="1" applyAlignment="1">
      <alignment horizontal="center" vertical="center" wrapText="1" readingOrder="1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5" fillId="2" borderId="17" xfId="0" applyFont="1" applyFill="1" applyBorder="1" applyAlignment="1">
      <alignment horizontal="right" vertical="center" wrapText="1" readingOrder="1"/>
    </xf>
    <xf numFmtId="0" fontId="5" fillId="2" borderId="14" xfId="0" applyFont="1" applyFill="1" applyBorder="1" applyAlignment="1">
      <alignment vertical="center" wrapText="1" readingOrder="1"/>
    </xf>
    <xf numFmtId="0" fontId="5" fillId="2" borderId="18" xfId="0" applyFont="1" applyFill="1" applyBorder="1" applyAlignment="1">
      <alignment horizontal="right" vertical="center" wrapText="1" readingOrder="1"/>
    </xf>
    <xf numFmtId="9" fontId="7" fillId="0" borderId="19" xfId="0" applyNumberFormat="1" applyFont="1" applyBorder="1" applyAlignment="1">
      <alignment horizontal="center" vertical="center" wrapText="1" readingOrder="1"/>
    </xf>
    <xf numFmtId="0" fontId="5" fillId="2" borderId="20" xfId="0" applyFont="1" applyFill="1" applyBorder="1" applyAlignment="1">
      <alignment vertical="center" wrapText="1" readingOrder="1"/>
    </xf>
    <xf numFmtId="176" fontId="9" fillId="2" borderId="14" xfId="0" applyNumberFormat="1" applyFont="1" applyFill="1" applyBorder="1" applyAlignment="1">
      <alignment vertical="center" readingOrder="1"/>
    </xf>
    <xf numFmtId="176" fontId="9" fillId="2" borderId="19" xfId="0" applyNumberFormat="1" applyFont="1" applyFill="1" applyBorder="1" applyAlignment="1">
      <alignment vertical="center" readingOrder="1"/>
    </xf>
    <xf numFmtId="10" fontId="9" fillId="2" borderId="20" xfId="0" applyNumberFormat="1" applyFont="1" applyFill="1" applyBorder="1" applyAlignment="1">
      <alignment vertical="center" readingOrder="1"/>
    </xf>
    <xf numFmtId="0" fontId="1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77" fontId="13" fillId="0" borderId="0" xfId="0" applyNumberFormat="1" applyFont="1">
      <alignment vertical="center"/>
    </xf>
    <xf numFmtId="0" fontId="17" fillId="0" borderId="5" xfId="0" applyFont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 wrapText="1" readingOrder="1"/>
    </xf>
    <xf numFmtId="0" fontId="10" fillId="4" borderId="25" xfId="0" applyFont="1" applyFill="1" applyBorder="1" applyAlignment="1">
      <alignment horizontal="center" vertical="center" wrapText="1" readingOrder="1"/>
    </xf>
    <xf numFmtId="0" fontId="4" fillId="4" borderId="29" xfId="0" applyFont="1" applyFill="1" applyBorder="1" applyAlignment="1">
      <alignment horizontal="left" vertical="center" wrapText="1" readingOrder="1"/>
    </xf>
    <xf numFmtId="0" fontId="5" fillId="6" borderId="30" xfId="0" applyFont="1" applyFill="1" applyBorder="1" applyAlignment="1">
      <alignment vertical="center" wrapText="1" readingOrder="1"/>
    </xf>
    <xf numFmtId="0" fontId="5" fillId="7" borderId="30" xfId="0" applyFont="1" applyFill="1" applyBorder="1" applyAlignment="1">
      <alignment vertical="center" wrapText="1" readingOrder="1"/>
    </xf>
    <xf numFmtId="10" fontId="15" fillId="0" borderId="0" xfId="0" applyNumberFormat="1" applyFont="1" applyAlignment="1">
      <alignment horizontal="right" vertical="center"/>
    </xf>
    <xf numFmtId="0" fontId="4" fillId="4" borderId="26" xfId="0" applyFont="1" applyFill="1" applyBorder="1" applyAlignment="1">
      <alignment horizontal="right" vertical="center" wrapText="1" readingOrder="1"/>
    </xf>
    <xf numFmtId="31" fontId="13" fillId="0" borderId="4" xfId="0" applyNumberFormat="1" applyFont="1" applyBorder="1" applyAlignment="1">
      <alignment horizontal="left" vertical="center"/>
    </xf>
    <xf numFmtId="177" fontId="13" fillId="0" borderId="4" xfId="0" applyNumberFormat="1" applyFont="1" applyBorder="1">
      <alignment vertical="center"/>
    </xf>
    <xf numFmtId="0" fontId="19" fillId="0" borderId="24" xfId="0" applyFont="1" applyBorder="1">
      <alignment vertical="center"/>
    </xf>
    <xf numFmtId="10" fontId="13" fillId="0" borderId="0" xfId="0" applyNumberFormat="1" applyFont="1">
      <alignment vertical="center"/>
    </xf>
    <xf numFmtId="0" fontId="20" fillId="3" borderId="1" xfId="0" applyFont="1" applyFill="1" applyBorder="1" applyAlignment="1">
      <alignment horizontal="center" vertical="center" wrapText="1" readingOrder="1"/>
    </xf>
    <xf numFmtId="0" fontId="5" fillId="2" borderId="31" xfId="0" applyFont="1" applyFill="1" applyBorder="1" applyAlignment="1">
      <alignment horizontal="left" vertical="center" wrapText="1" readingOrder="1"/>
    </xf>
    <xf numFmtId="0" fontId="5" fillId="2" borderId="19" xfId="0" applyFont="1" applyFill="1" applyBorder="1" applyAlignment="1">
      <alignment horizontal="left" vertical="center" wrapText="1" readingOrder="1"/>
    </xf>
    <xf numFmtId="49" fontId="12" fillId="3" borderId="21" xfId="0" applyNumberFormat="1" applyFont="1" applyFill="1" applyBorder="1" applyAlignment="1">
      <alignment horizontal="left" vertical="center" wrapText="1" readingOrder="1"/>
    </xf>
    <xf numFmtId="49" fontId="12" fillId="3" borderId="22" xfId="0" applyNumberFormat="1" applyFont="1" applyFill="1" applyBorder="1" applyAlignment="1">
      <alignment horizontal="left" vertical="center" wrapText="1" readingOrder="1"/>
    </xf>
    <xf numFmtId="49" fontId="12" fillId="3" borderId="23" xfId="0" applyNumberFormat="1" applyFont="1" applyFill="1" applyBorder="1" applyAlignment="1">
      <alignment horizontal="left" vertical="center" wrapText="1" readingOrder="1"/>
    </xf>
    <xf numFmtId="0" fontId="2" fillId="5" borderId="15" xfId="0" applyFont="1" applyFill="1" applyBorder="1" applyAlignment="1">
      <alignment horizontal="center" vertical="center" wrapText="1" readingOrder="1"/>
    </xf>
    <xf numFmtId="0" fontId="2" fillId="5" borderId="2" xfId="0" applyFont="1" applyFill="1" applyBorder="1" applyAlignment="1">
      <alignment horizontal="center" vertical="center" wrapText="1" readingOrder="1"/>
    </xf>
    <xf numFmtId="0" fontId="2" fillId="5" borderId="16" xfId="0" applyFont="1" applyFill="1" applyBorder="1" applyAlignment="1">
      <alignment horizontal="center" vertical="center" wrapText="1" readingOrder="1"/>
    </xf>
    <xf numFmtId="0" fontId="3" fillId="5" borderId="27" xfId="0" applyFont="1" applyFill="1" applyBorder="1" applyAlignment="1">
      <alignment horizontal="center" vertical="center" wrapText="1" readingOrder="1"/>
    </xf>
    <xf numFmtId="0" fontId="3" fillId="5" borderId="28" xfId="0" applyFont="1" applyFill="1" applyBorder="1" applyAlignment="1">
      <alignment horizontal="center" vertical="center" wrapText="1" readingOrder="1"/>
    </xf>
    <xf numFmtId="0" fontId="2" fillId="5" borderId="9" xfId="0" applyFont="1" applyFill="1" applyBorder="1" applyAlignment="1">
      <alignment horizontal="center" vertical="center" wrapText="1" readingOrder="1"/>
    </xf>
    <xf numFmtId="0" fontId="2" fillId="5" borderId="3" xfId="0" applyFont="1" applyFill="1" applyBorder="1" applyAlignment="1">
      <alignment horizontal="center" vertical="center" wrapText="1" readingOrder="1"/>
    </xf>
    <xf numFmtId="0" fontId="7" fillId="0" borderId="25" xfId="0" applyFont="1" applyBorder="1" applyAlignment="1">
      <alignment horizontal="center" vertical="center" wrapText="1" readingOrder="1"/>
    </xf>
    <xf numFmtId="0" fontId="7" fillId="0" borderId="26" xfId="0" applyFont="1" applyBorder="1" applyAlignment="1">
      <alignment horizontal="center" vertical="center" wrapText="1" readingOrder="1"/>
    </xf>
    <xf numFmtId="9" fontId="7" fillId="0" borderId="1" xfId="0" applyNumberFormat="1" applyFont="1" applyBorder="1" applyAlignment="1">
      <alignment horizontal="center" vertical="center" wrapText="1" readingOrder="1"/>
    </xf>
    <xf numFmtId="9" fontId="7" fillId="0" borderId="14" xfId="0" applyNumberFormat="1" applyFont="1" applyBorder="1" applyAlignment="1">
      <alignment horizontal="center" vertical="center" wrapText="1" readingOrder="1"/>
    </xf>
    <xf numFmtId="0" fontId="5" fillId="2" borderId="30" xfId="0" applyFont="1" applyFill="1" applyBorder="1" applyAlignment="1">
      <alignment horizontal="left" vertical="center" wrapText="1" readingOrder="1"/>
    </xf>
    <xf numFmtId="0" fontId="5" fillId="2" borderId="1" xfId="0" applyFont="1" applyFill="1" applyBorder="1" applyAlignment="1">
      <alignment horizontal="left" vertical="center" wrapText="1" readingOrder="1"/>
    </xf>
    <xf numFmtId="0" fontId="14" fillId="0" borderId="34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5" fillId="0" borderId="32" xfId="0" applyFont="1" applyBorder="1">
      <alignment vertical="center"/>
    </xf>
    <xf numFmtId="0" fontId="14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33" xfId="0" applyFont="1" applyBorder="1">
      <alignment vertical="center"/>
    </xf>
    <xf numFmtId="0" fontId="14" fillId="0" borderId="0" xfId="0" applyFont="1">
      <alignment vertical="center"/>
    </xf>
    <xf numFmtId="0" fontId="14" fillId="0" borderId="10" xfId="0" applyFont="1" applyBorder="1">
      <alignment vertical="center"/>
    </xf>
  </cellXfs>
  <cellStyles count="1">
    <cellStyle name="常规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numFmt numFmtId="41" formatCode="yyyy&quot;年&quot;m&quot;月&quot;d&quot;日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更纱黑体 UI SC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8" tint="-0.499984740745262"/>
      </font>
      <fill>
        <patternFill>
          <bgColor theme="8" tint="0.79998168889431442"/>
        </patternFill>
      </fill>
    </dxf>
    <dxf>
      <font>
        <color theme="4" tint="-0.499984740745262"/>
      </font>
      <fill>
        <patternFill>
          <bgColor theme="3" tint="0.749961851863155"/>
        </patternFill>
      </fill>
    </dxf>
    <dxf>
      <font>
        <color rgb="FF9C0006"/>
      </font>
    </dxf>
    <dxf>
      <font>
        <strike val="0"/>
        <color theme="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7B1315"/>
      <color rgb="FF16A3FA"/>
      <color rgb="FF6CC5FC"/>
      <color rgb="FFE87C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/>
              <a:t>资产透视图</a:t>
            </a:r>
          </a:p>
        </c:rich>
      </c:tx>
      <c:layout>
        <c:manualLayout>
          <c:xMode val="edge"/>
          <c:yMode val="edge"/>
          <c:x val="0.4543700240233171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46858418452217E-2"/>
          <c:y val="3.2704627695711919E-2"/>
          <c:w val="0.9666531415815478"/>
          <c:h val="0.93868311588682229"/>
        </c:manualLayout>
      </c:layout>
      <c:lineChart>
        <c:grouping val="standard"/>
        <c:varyColors val="0"/>
        <c:ser>
          <c:idx val="0"/>
          <c:order val="0"/>
          <c:tx>
            <c:strRef>
              <c:f>History!$F$1</c:f>
              <c:strCache>
                <c:ptCount val="1"/>
                <c:pt idx="0">
                  <c:v>总资产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History!$A$2:$A$2</c:f>
              <c:numCache>
                <c:formatCode>m"月"d"日"yyyy"年"</c:formatCode>
                <c:ptCount val="1"/>
                <c:pt idx="0">
                  <c:v>46056</c:v>
                </c:pt>
              </c:numCache>
            </c:numRef>
          </c:cat>
          <c:val>
            <c:numRef>
              <c:f>History!$F$2:$F$2</c:f>
              <c:numCache>
                <c:formatCode>0.00_ </c:formatCode>
                <c:ptCount val="1"/>
                <c:pt idx="0">
                  <c:v>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E8-459E-A6B7-F6D97BA09E9E}"/>
            </c:ext>
          </c:extLst>
        </c:ser>
        <c:ser>
          <c:idx val="1"/>
          <c:order val="1"/>
          <c:tx>
            <c:strRef>
              <c:f>History!$K$1</c:f>
              <c:strCache>
                <c:ptCount val="1"/>
                <c:pt idx="0">
                  <c:v>总本金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History!$A$2:$A$2</c:f>
              <c:numCache>
                <c:formatCode>m"月"d"日"yyyy"年"</c:formatCode>
                <c:ptCount val="1"/>
                <c:pt idx="0">
                  <c:v>46056</c:v>
                </c:pt>
              </c:numCache>
            </c:numRef>
          </c:cat>
          <c:val>
            <c:numRef>
              <c:f>History!$K$2:$K$2</c:f>
              <c:numCache>
                <c:formatCode>General</c:formatCode>
                <c:ptCount val="1"/>
                <c:pt idx="0">
                  <c:v>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B2-1C44-9951-911F1F358D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marker val="1"/>
        <c:smooth val="0"/>
        <c:axId val="2056560639"/>
        <c:axId val="2056555359"/>
      </c:lineChart>
      <c:dateAx>
        <c:axId val="2056560639"/>
        <c:scaling>
          <c:orientation val="minMax"/>
        </c:scaling>
        <c:delete val="0"/>
        <c:axPos val="b"/>
        <c:numFmt formatCode="m&quot;月&quot;d&quot;日&quot;yyyy&quot;年&quot;" sourceLinked="1"/>
        <c:majorTickMark val="out"/>
        <c:minorTickMark val="none"/>
        <c:tickLblPos val="none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6555359"/>
        <c:crosses val="autoZero"/>
        <c:auto val="0"/>
        <c:lblOffset val="100"/>
        <c:baseTimeUnit val="days"/>
      </c:dateAx>
      <c:valAx>
        <c:axId val="2056555359"/>
        <c:scaling>
          <c:orientation val="minMax"/>
          <c:min val="700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0.0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6560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5304288303305841E-2"/>
          <c:y val="1.6790617949647507E-2"/>
          <c:w val="0.11672082422406121"/>
          <c:h val="7.68460125154363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15022707170833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6333075994813247E-2"/>
          <c:y val="6.3843887898246937E-2"/>
          <c:w val="0.95263009961249312"/>
          <c:h val="0.89980607240813415"/>
        </c:manualLayout>
      </c:layout>
      <c:lineChart>
        <c:grouping val="standard"/>
        <c:varyColors val="0"/>
        <c:ser>
          <c:idx val="0"/>
          <c:order val="0"/>
          <c:tx>
            <c:strRef>
              <c:f>History!$P$1</c:f>
              <c:strCache>
                <c:ptCount val="1"/>
                <c:pt idx="0">
                  <c:v>总收益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History!$A$2:$A$2</c:f>
              <c:numCache>
                <c:formatCode>m"月"d"日"yyyy"年"</c:formatCode>
                <c:ptCount val="1"/>
                <c:pt idx="0">
                  <c:v>46056</c:v>
                </c:pt>
              </c:numCache>
            </c:numRef>
          </c:cat>
          <c:val>
            <c:numRef>
              <c:f>History!$P$2:$P$2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1A-41A1-ACED-EC6449D94F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marker val="1"/>
        <c:smooth val="0"/>
        <c:axId val="236619247"/>
        <c:axId val="236610607"/>
      </c:lineChart>
      <c:dateAx>
        <c:axId val="236619247"/>
        <c:scaling>
          <c:orientation val="minMax"/>
        </c:scaling>
        <c:delete val="0"/>
        <c:axPos val="b"/>
        <c:numFmt formatCode="m&quot;月&quot;d&quot;日&quot;yyyy&quot;年&quot;" sourceLinked="1"/>
        <c:majorTickMark val="out"/>
        <c:minorTickMark val="none"/>
        <c:tickLblPos val="none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610607"/>
        <c:crosses val="autoZero"/>
        <c:auto val="1"/>
        <c:lblOffset val="100"/>
        <c:baseTimeUnit val="days"/>
      </c:dateAx>
      <c:valAx>
        <c:axId val="236610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619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各项收益率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bg1"/>
              </a:solidFill>
              <a:latin typeface="+mj-lt"/>
              <a:ea typeface="+mj-ea"/>
              <a:cs typeface="+mj-cs"/>
            </a:defRPr>
          </a:pPr>
          <a:endParaRPr lang="en-US" altLang="zh-CN"/>
        </a:p>
      </c:txPr>
    </c:title>
    <c:autoTitleDeleted val="0"/>
    <c:plotArea>
      <c:layout>
        <c:manualLayout>
          <c:layoutTarget val="inner"/>
          <c:xMode val="edge"/>
          <c:yMode val="edge"/>
          <c:x val="2.9513609682225047E-2"/>
          <c:y val="6.3843887898246937E-2"/>
          <c:w val="0.96786053559653373"/>
          <c:h val="0.89980607240813415"/>
        </c:manualLayout>
      </c:layout>
      <c:lineChart>
        <c:grouping val="standard"/>
        <c:varyColors val="0"/>
        <c:ser>
          <c:idx val="0"/>
          <c:order val="0"/>
          <c:tx>
            <c:strRef>
              <c:f>History!$L$1</c:f>
              <c:strCache>
                <c:ptCount val="1"/>
                <c:pt idx="0">
                  <c:v>股票收益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History!$A$2:$A$2</c:f>
              <c:numCache>
                <c:formatCode>m"月"d"日"yyyy"年"</c:formatCode>
                <c:ptCount val="1"/>
                <c:pt idx="0">
                  <c:v>46056</c:v>
                </c:pt>
              </c:numCache>
            </c:numRef>
          </c:cat>
          <c:val>
            <c:numRef>
              <c:f>History!$L$2:$L$2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01-544A-B3F3-E612969BB282}"/>
            </c:ext>
          </c:extLst>
        </c:ser>
        <c:ser>
          <c:idx val="1"/>
          <c:order val="1"/>
          <c:tx>
            <c:strRef>
              <c:f>History!$M$1</c:f>
              <c:strCache>
                <c:ptCount val="1"/>
                <c:pt idx="0">
                  <c:v>债券收益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dLbls>
            <c:delete val="1"/>
          </c:dLbls>
          <c:val>
            <c:numRef>
              <c:f>History!$M$2:$M$2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01-544A-B3F3-E612969BB282}"/>
            </c:ext>
          </c:extLst>
        </c:ser>
        <c:ser>
          <c:idx val="2"/>
          <c:order val="2"/>
          <c:tx>
            <c:strRef>
              <c:f>History!$N$1</c:f>
              <c:strCache>
                <c:ptCount val="1"/>
                <c:pt idx="0">
                  <c:v>黄金收益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dLbls>
            <c:delete val="1"/>
          </c:dLbls>
          <c:val>
            <c:numRef>
              <c:f>History!$N$2:$N$2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01-544A-B3F3-E612969BB282}"/>
            </c:ext>
          </c:extLst>
        </c:ser>
        <c:ser>
          <c:idx val="3"/>
          <c:order val="3"/>
          <c:tx>
            <c:strRef>
              <c:f>History!$O$1</c:f>
              <c:strCache>
                <c:ptCount val="1"/>
                <c:pt idx="0">
                  <c:v>现金收益</c:v>
                </c:pt>
              </c:strCache>
            </c:strRef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dLbls>
            <c:delete val="1"/>
          </c:dLbls>
          <c:val>
            <c:numRef>
              <c:f>History!$O$2:$O$2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01-544A-B3F3-E612969BB2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marker val="1"/>
        <c:smooth val="0"/>
        <c:axId val="236619247"/>
        <c:axId val="236610607"/>
      </c:lineChart>
      <c:dateAx>
        <c:axId val="236619247"/>
        <c:scaling>
          <c:orientation val="minMax"/>
        </c:scaling>
        <c:delete val="0"/>
        <c:axPos val="b"/>
        <c:numFmt formatCode="m&quot;月&quot;d&quot;日&quot;yyyy&quot;年&quot;" sourceLinked="1"/>
        <c:majorTickMark val="out"/>
        <c:minorTickMark val="none"/>
        <c:tickLblPos val="none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610607"/>
        <c:crosses val="autoZero"/>
        <c:auto val="1"/>
        <c:lblOffset val="100"/>
        <c:baseTimeUnit val="days"/>
      </c:dateAx>
      <c:valAx>
        <c:axId val="236610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619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/>
              <a:t>资产配置流图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994230456250545E-2"/>
          <c:y val="7.9901365120055204E-2"/>
          <c:w val="0.95411159826850522"/>
          <c:h val="0.89367317321937412"/>
        </c:manualLayout>
      </c:layout>
      <c:areaChart>
        <c:grouping val="percentStacked"/>
        <c:varyColors val="0"/>
        <c:ser>
          <c:idx val="3"/>
          <c:order val="0"/>
          <c:tx>
            <c:strRef>
              <c:f>History!$E$1</c:f>
              <c:strCache>
                <c:ptCount val="1"/>
                <c:pt idx="0">
                  <c:v>现金市值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</a:schemeClr>
                </a:gs>
                <a:gs pos="0">
                  <a:schemeClr val="accent2">
                    <a:lumMod val="60000"/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numRef>
              <c:f>History!$A$2:$A$2</c:f>
              <c:numCache>
                <c:formatCode>m"月"d"日"yyyy"年"</c:formatCode>
                <c:ptCount val="1"/>
                <c:pt idx="0">
                  <c:v>46056</c:v>
                </c:pt>
              </c:numCache>
            </c:numRef>
          </c:cat>
          <c:val>
            <c:numRef>
              <c:f>History!$E$2:$E$2</c:f>
              <c:numCache>
                <c:formatCode>0.00_ 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48-0B4C-9B0D-11A88CD89E5B}"/>
            </c:ext>
          </c:extLst>
        </c:ser>
        <c:ser>
          <c:idx val="1"/>
          <c:order val="1"/>
          <c:tx>
            <c:strRef>
              <c:f>History!$C$1</c:f>
              <c:strCache>
                <c:ptCount val="1"/>
                <c:pt idx="0">
                  <c:v>债券市值</c:v>
                </c:pt>
              </c:strCache>
            </c:strRef>
          </c:tx>
          <c:spPr>
            <a:gradFill>
              <a:gsLst>
                <a:gs pos="100000">
                  <a:schemeClr val="accent4"/>
                </a:gs>
                <a:gs pos="0">
                  <a:schemeClr val="accent4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numRef>
              <c:f>History!$A$2:$A$2</c:f>
              <c:numCache>
                <c:formatCode>m"月"d"日"yyyy"年"</c:formatCode>
                <c:ptCount val="1"/>
                <c:pt idx="0">
                  <c:v>46056</c:v>
                </c:pt>
              </c:numCache>
            </c:numRef>
          </c:cat>
          <c:val>
            <c:numRef>
              <c:f>History!$C$2:$C$2</c:f>
              <c:numCache>
                <c:formatCode>0.00_ 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48-0B4C-9B0D-11A88CD89E5B}"/>
            </c:ext>
          </c:extLst>
        </c:ser>
        <c:ser>
          <c:idx val="2"/>
          <c:order val="2"/>
          <c:tx>
            <c:strRef>
              <c:f>History!$D$1</c:f>
              <c:strCache>
                <c:ptCount val="1"/>
                <c:pt idx="0">
                  <c:v>黄金市值</c:v>
                </c:pt>
              </c:strCache>
            </c:strRef>
          </c:tx>
          <c:spPr>
            <a:gradFill>
              <a:gsLst>
                <a:gs pos="100000">
                  <a:schemeClr val="accent6"/>
                </a:gs>
                <a:gs pos="0">
                  <a:schemeClr val="accent6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numRef>
              <c:f>History!$A$2:$A$2</c:f>
              <c:numCache>
                <c:formatCode>m"月"d"日"yyyy"年"</c:formatCode>
                <c:ptCount val="1"/>
                <c:pt idx="0">
                  <c:v>46056</c:v>
                </c:pt>
              </c:numCache>
            </c:numRef>
          </c:cat>
          <c:val>
            <c:numRef>
              <c:f>History!$D$2:$D$2</c:f>
              <c:numCache>
                <c:formatCode>0.00_ 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48-0B4C-9B0D-11A88CD89E5B}"/>
            </c:ext>
          </c:extLst>
        </c:ser>
        <c:ser>
          <c:idx val="0"/>
          <c:order val="3"/>
          <c:tx>
            <c:strRef>
              <c:f>History!$B$1</c:f>
              <c:strCache>
                <c:ptCount val="1"/>
                <c:pt idx="0">
                  <c:v>股票市值</c:v>
                </c:pt>
              </c:strCache>
            </c:strRef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numRef>
              <c:f>History!$A$2:$A$2</c:f>
              <c:numCache>
                <c:formatCode>m"月"d"日"yyyy"年"</c:formatCode>
                <c:ptCount val="1"/>
                <c:pt idx="0">
                  <c:v>46056</c:v>
                </c:pt>
              </c:numCache>
            </c:numRef>
          </c:cat>
          <c:val>
            <c:numRef>
              <c:f>History!$B$2:$B$2</c:f>
              <c:numCache>
                <c:formatCode>0.00_ 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8-0B4C-9B0D-11A88CD89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2056563519"/>
        <c:axId val="255094175"/>
      </c:areaChart>
      <c:dateAx>
        <c:axId val="2056563519"/>
        <c:scaling>
          <c:orientation val="minMax"/>
        </c:scaling>
        <c:delete val="0"/>
        <c:axPos val="b"/>
        <c:numFmt formatCode="m&quot;月&quot;d&quot;日&quot;yyyy&quot;年&quot;" sourceLinked="1"/>
        <c:majorTickMark val="none"/>
        <c:minorTickMark val="none"/>
        <c:tickLblPos val="none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5094175"/>
        <c:crosses val="autoZero"/>
        <c:auto val="0"/>
        <c:lblOffset val="100"/>
        <c:baseTimeUnit val="days"/>
      </c:dateAx>
      <c:valAx>
        <c:axId val="25509417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prstDash val="sysDot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6563519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6523857884171025"/>
          <c:y val="2.2545818005178415E-2"/>
          <c:w val="0.21813632312439529"/>
          <c:h val="4.05393442399681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160659</xdr:colOff>
      <xdr:row>5</xdr:row>
      <xdr:rowOff>191772</xdr:rowOff>
    </xdr:from>
    <xdr:to>
      <xdr:col>11</xdr:col>
      <xdr:colOff>578076</xdr:colOff>
      <xdr:row>12</xdr:row>
      <xdr:rowOff>15413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A74A0E88-77C7-014C-AA74-B2682CF003A7}"/>
            </a:ext>
          </a:extLst>
        </xdr:cNvPr>
        <xdr:cNvGrpSpPr/>
      </xdr:nvGrpSpPr>
      <xdr:grpSpPr>
        <a:xfrm>
          <a:off x="6974019" y="1574023"/>
          <a:ext cx="2743358" cy="1323363"/>
          <a:chOff x="7007950" y="1499519"/>
          <a:chExt cx="2743200" cy="1361808"/>
        </a:xfrm>
      </xdr:grpSpPr>
      <xdr:sp macro="[0]!SmartAutoTrade" textlink="">
        <xdr:nvSpPr>
          <xdr:cNvPr id="2" name="矩形 1">
            <a:extLst>
              <a:ext uri="{FF2B5EF4-FFF2-40B4-BE49-F238E27FC236}">
                <a16:creationId xmlns:a16="http://schemas.microsoft.com/office/drawing/2014/main" id="{D22A1D90-FD4A-0073-BEB6-708D13F414EF}"/>
              </a:ext>
            </a:extLst>
          </xdr:cNvPr>
          <xdr:cNvSpPr/>
        </xdr:nvSpPr>
        <xdr:spPr>
          <a:xfrm>
            <a:off x="7007950" y="1499519"/>
            <a:ext cx="2743200" cy="411480"/>
          </a:xfrm>
          <a:prstGeom prst="rect">
            <a:avLst/>
          </a:prstGeom>
          <a:solidFill>
            <a:schemeClr val="tx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600" b="1" i="0">
                <a:latin typeface="Source Han Serif SC" panose="02020400000000000000" pitchFamily="18" charset="-128"/>
                <a:ea typeface="Source Han Serif SC" panose="02020400000000000000" pitchFamily="18" charset="-128"/>
              </a:rPr>
              <a:t>⭐️</a:t>
            </a:r>
            <a:r>
              <a:rPr lang="zh-CN" altLang="en-US" sz="1600" b="1" i="0">
                <a:latin typeface="Source Han Serif SC" panose="02020400000000000000" pitchFamily="18" charset="-128"/>
                <a:ea typeface="Source Han Serif SC" panose="02020400000000000000" pitchFamily="18" charset="-128"/>
              </a:rPr>
              <a:t> </a:t>
            </a:r>
            <a:r>
              <a:rPr lang="zh-CN" altLang="en-US" sz="1600" b="1" i="0">
                <a:latin typeface="更纱黑体 UI SC" panose="02000500000000000000" pitchFamily="2" charset="-122"/>
                <a:ea typeface="更纱黑体 UI SC" panose="02000500000000000000" pitchFamily="2" charset="-122"/>
                <a:cs typeface="更纱黑体 UI SC" panose="02000500000000000000" pitchFamily="2" charset="-122"/>
              </a:rPr>
              <a:t>智能买卖</a:t>
            </a:r>
          </a:p>
        </xdr:txBody>
      </xdr:sp>
      <xdr:sp macro="[0]!ConfirmEqualBuy" textlink="">
        <xdr:nvSpPr>
          <xdr:cNvPr id="3" name="矩形 2">
            <a:extLst>
              <a:ext uri="{FF2B5EF4-FFF2-40B4-BE49-F238E27FC236}">
                <a16:creationId xmlns:a16="http://schemas.microsoft.com/office/drawing/2014/main" id="{490B6250-A3B1-4B4B-8CCA-24F0951D796E}"/>
              </a:ext>
            </a:extLst>
          </xdr:cNvPr>
          <xdr:cNvSpPr/>
        </xdr:nvSpPr>
        <xdr:spPr>
          <a:xfrm>
            <a:off x="7007950" y="1973244"/>
            <a:ext cx="1280160" cy="411480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600" b="1" i="0">
                <a:latin typeface="Source Han Serif SC" panose="02020400000000000000" pitchFamily="18" charset="-128"/>
                <a:ea typeface="Source Han Serif SC" panose="02020400000000000000" pitchFamily="18" charset="-128"/>
              </a:rPr>
              <a:t>⚖</a:t>
            </a:r>
            <a:r>
              <a:rPr lang="zh-CN" altLang="en-US" sz="1600" b="1" i="0">
                <a:latin typeface="更纱黑体 UI SC" panose="02000500000000000000" pitchFamily="2" charset="-122"/>
                <a:ea typeface="更纱黑体 UI SC" panose="02000500000000000000" pitchFamily="2" charset="-122"/>
                <a:cs typeface="更纱黑体 UI SC" panose="02000500000000000000" pitchFamily="2" charset="-122"/>
              </a:rPr>
              <a:t>平均买卖</a:t>
            </a:r>
          </a:p>
        </xdr:txBody>
      </xdr:sp>
      <xdr:sp macro="[0]!ConfirmSmartInjection" textlink="">
        <xdr:nvSpPr>
          <xdr:cNvPr id="4" name="矩形 3">
            <a:extLst>
              <a:ext uri="{FF2B5EF4-FFF2-40B4-BE49-F238E27FC236}">
                <a16:creationId xmlns:a16="http://schemas.microsoft.com/office/drawing/2014/main" id="{A8BCFE63-C60A-1F45-8119-B1AC71E92DD0}"/>
              </a:ext>
            </a:extLst>
          </xdr:cNvPr>
          <xdr:cNvSpPr/>
        </xdr:nvSpPr>
        <xdr:spPr>
          <a:xfrm>
            <a:off x="8470990" y="1973244"/>
            <a:ext cx="1280160" cy="411480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600" b="1" i="0">
                <a:latin typeface="Source Han Serif SC" panose="02020400000000000000" pitchFamily="18" charset="-128"/>
                <a:ea typeface="Source Han Serif SC" panose="02020400000000000000" pitchFamily="18" charset="-128"/>
              </a:rPr>
              <a:t>🌊</a:t>
            </a:r>
            <a:r>
              <a:rPr lang="zh-CN" altLang="en-US" sz="1600" b="1" i="0">
                <a:latin typeface="更纱黑体 UI SC" panose="02000500000000000000" pitchFamily="2" charset="-122"/>
                <a:ea typeface="更纱黑体 UI SC" panose="02000500000000000000" pitchFamily="2" charset="-122"/>
                <a:cs typeface="更纱黑体 UI SC" panose="02000500000000000000" pitchFamily="2" charset="-122"/>
              </a:rPr>
              <a:t>填坑买卖</a:t>
            </a:r>
          </a:p>
        </xdr:txBody>
      </xdr:sp>
      <xdr:sp macro="[0]!ExecuteFullRebalance" textlink="">
        <xdr:nvSpPr>
          <xdr:cNvPr id="5" name="矩形 4">
            <a:extLst>
              <a:ext uri="{FF2B5EF4-FFF2-40B4-BE49-F238E27FC236}">
                <a16:creationId xmlns:a16="http://schemas.microsoft.com/office/drawing/2014/main" id="{9C82439D-68F7-DF24-1BDC-27B458421D67}"/>
              </a:ext>
            </a:extLst>
          </xdr:cNvPr>
          <xdr:cNvSpPr/>
        </xdr:nvSpPr>
        <xdr:spPr>
          <a:xfrm>
            <a:off x="7007950" y="2449847"/>
            <a:ext cx="1280160" cy="411480"/>
          </a:xfrm>
          <a:prstGeom prst="rect">
            <a:avLst/>
          </a:prstGeom>
          <a:solidFill>
            <a:srgbClr val="7B1315"/>
          </a:solidFill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600" b="1" i="0">
                <a:latin typeface="Source Han Serif SC" panose="02020400000000000000" pitchFamily="18" charset="-128"/>
                <a:ea typeface="Source Han Serif SC" panose="02020400000000000000" pitchFamily="18" charset="-128"/>
              </a:rPr>
              <a:t>♻️</a:t>
            </a:r>
            <a:r>
              <a:rPr lang="zh-CN" altLang="en-US" sz="1600" b="1" i="0">
                <a:latin typeface="更纱黑体 UI SC" panose="02000500000000000000" pitchFamily="2" charset="-122"/>
                <a:ea typeface="更纱黑体 UI SC" panose="02000500000000000000" pitchFamily="2" charset="-122"/>
                <a:cs typeface="更纱黑体 UI SC" panose="02000500000000000000" pitchFamily="2" charset="-122"/>
              </a:rPr>
              <a:t>再平衡</a:t>
            </a:r>
          </a:p>
        </xdr:txBody>
      </xdr:sp>
      <xdr:sp macro="[0]!RecordData" textlink="">
        <xdr:nvSpPr>
          <xdr:cNvPr id="6" name="矩形 5">
            <a:extLst>
              <a:ext uri="{FF2B5EF4-FFF2-40B4-BE49-F238E27FC236}">
                <a16:creationId xmlns:a16="http://schemas.microsoft.com/office/drawing/2014/main" id="{62D49BAF-06F4-1924-B9EB-FEE4C414708E}"/>
              </a:ext>
            </a:extLst>
          </xdr:cNvPr>
          <xdr:cNvSpPr/>
        </xdr:nvSpPr>
        <xdr:spPr>
          <a:xfrm>
            <a:off x="8470990" y="2449847"/>
            <a:ext cx="1280160" cy="411480"/>
          </a:xfrm>
          <a:prstGeom prst="rect">
            <a:avLst/>
          </a:prstGeom>
        </xdr:spPr>
        <xdr:style>
          <a:lnRef idx="2">
            <a:schemeClr val="accent3">
              <a:shade val="15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600" b="1" i="0">
                <a:latin typeface="Source Han Serif SC" panose="02020400000000000000" pitchFamily="18" charset="-128"/>
                <a:ea typeface="Source Han Serif SC" panose="02020400000000000000" pitchFamily="18" charset="-128"/>
              </a:rPr>
              <a:t>📒</a:t>
            </a:r>
            <a:r>
              <a:rPr lang="zh-CN" altLang="en-US" sz="1600" b="1" i="0">
                <a:latin typeface="更纱黑体 UI SC" panose="02000500000000000000" pitchFamily="2" charset="-122"/>
                <a:ea typeface="更纱黑体 UI SC" panose="02000500000000000000" pitchFamily="2" charset="-122"/>
                <a:cs typeface="更纱黑体 UI SC" panose="02000500000000000000" pitchFamily="2" charset="-122"/>
              </a:rPr>
              <a:t>记录净值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543226</xdr:colOff>
      <xdr:row>14</xdr:row>
      <xdr:rowOff>174170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973898A-EB76-4CF2-826C-2DFD16EA2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5440</xdr:colOff>
      <xdr:row>15</xdr:row>
      <xdr:rowOff>58604</xdr:rowOff>
    </xdr:from>
    <xdr:to>
      <xdr:col>19</xdr:col>
      <xdr:colOff>558240</xdr:colOff>
      <xdr:row>30</xdr:row>
      <xdr:rowOff>54428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47556905-6ADD-401E-A8FB-E0F1477D6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16</xdr:col>
      <xdr:colOff>59871</xdr:colOff>
      <xdr:row>30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7FFC0B8-B5D7-A847-8EDC-ABA5CFBDA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16</xdr:col>
      <xdr:colOff>27214</xdr:colOff>
      <xdr:row>29</xdr:row>
      <xdr:rowOff>77755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B6A2C0-5A32-3941-A078-BFA9541B84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BA1FC6D-42EE-3444-9F9D-E7B80B3B0692}" name="表5" displayName="表5" ref="A1:Q2" totalsRowShown="0" headerRowDxfId="19" dataDxfId="18" tableBorderDxfId="17">
  <autoFilter ref="A1:Q2" xr:uid="{5BA1FC6D-42EE-3444-9F9D-E7B80B3B0692}"/>
  <tableColumns count="17">
    <tableColumn id="1" xr3:uid="{22BADD4B-6E32-FB4F-B079-25820D42EAB7}" name="日期" dataDxfId="16"/>
    <tableColumn id="2" xr3:uid="{51A061DA-90DC-D84B-A120-97A1EE336E1F}" name="股票市值" dataDxfId="15"/>
    <tableColumn id="3" xr3:uid="{3AFF1EBC-3BBA-7749-8863-F463A3B205F2}" name="债券市值" dataDxfId="14"/>
    <tableColumn id="4" xr3:uid="{4E58B458-6159-A34E-8E39-2CDBF9933D8A}" name="黄金市值" dataDxfId="13"/>
    <tableColumn id="5" xr3:uid="{009012E6-2DB5-F747-9969-783CD126B5EB}" name="现金市值" dataDxfId="12"/>
    <tableColumn id="6" xr3:uid="{B08E18BF-93A2-4943-9717-B9C8C037DC20}" name="总资产" dataDxfId="11"/>
    <tableColumn id="7" xr3:uid="{371AC89E-F5F5-AF4F-A743-0F47231AC356}" name="股票本金" dataDxfId="10"/>
    <tableColumn id="8" xr3:uid="{46A7016E-E30E-4741-8C82-1F8294C97F43}" name="债券本金" dataDxfId="9"/>
    <tableColumn id="9" xr3:uid="{051D3B5C-4A54-E346-BD6A-BB2A5ADE92F3}" name="黄金本金" dataDxfId="8"/>
    <tableColumn id="10" xr3:uid="{3BB463D0-967C-204A-8072-951EDB46319C}" name="现金本金" dataDxfId="7"/>
    <tableColumn id="11" xr3:uid="{65BD582B-DE74-6B4A-B2F2-AFC75B10D9E1}" name="总本金" dataDxfId="6"/>
    <tableColumn id="12" xr3:uid="{41F71553-F80B-2E46-92CB-22B1E198E00F}" name="股票收益" dataDxfId="5"/>
    <tableColumn id="13" xr3:uid="{460FD483-B87C-1146-A296-CEAE413C343C}" name="债券收益" dataDxfId="4"/>
    <tableColumn id="14" xr3:uid="{7D7FA61C-C265-ED4F-8EED-691C9A7DE8BB}" name="黄金收益" dataDxfId="3"/>
    <tableColumn id="15" xr3:uid="{BB117E63-705A-E24C-85A3-E6AB7A274F96}" name="现金收益" dataDxfId="2"/>
    <tableColumn id="16" xr3:uid="{D1B0EF8F-8483-0B47-8C42-B6205B6505E1}" name="总收益" dataDxfId="1"/>
    <tableColumn id="17" xr3:uid="{C5469E18-0583-4048-BD8D-0D308587BC10}" name="当日收益" dataDxfId="0">
      <calculatedColumnFormula>表5[[#This Row],[总收益]]-P1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19E3-B4D8-41F5-98D2-CC64734B15E9}">
  <sheetPr codeName="Sheet1">
    <pageSetUpPr fitToPage="1"/>
  </sheetPr>
  <dimension ref="A1:L13"/>
  <sheetViews>
    <sheetView showGridLines="0" showRowColHeaders="0" tabSelected="1" zoomScale="139" zoomScaleNormal="139" zoomScaleSheetLayoutView="120" workbookViewId="0">
      <selection activeCell="H6" sqref="H6"/>
    </sheetView>
  </sheetViews>
  <sheetFormatPr defaultColWidth="8.85546875" defaultRowHeight="15"/>
  <cols>
    <col min="1" max="1" width="5.85546875" customWidth="1"/>
    <col min="2" max="2" width="10.5" style="1" customWidth="1"/>
    <col min="3" max="3" width="9.640625" customWidth="1"/>
    <col min="4" max="4" width="16.85546875" style="2" customWidth="1"/>
    <col min="5" max="6" width="10.85546875" customWidth="1"/>
    <col min="7" max="7" width="8" customWidth="1"/>
    <col min="8" max="8" width="16.85546875" customWidth="1"/>
    <col min="10" max="11" width="10.85546875" customWidth="1"/>
  </cols>
  <sheetData>
    <row r="1" spans="1:12" ht="30" customHeight="1" thickTop="1">
      <c r="A1" s="39" t="s">
        <v>9</v>
      </c>
      <c r="B1" s="37" t="s">
        <v>52</v>
      </c>
      <c r="C1" s="37" t="s">
        <v>10</v>
      </c>
      <c r="D1" s="38" t="s">
        <v>2</v>
      </c>
      <c r="E1" s="37" t="s">
        <v>11</v>
      </c>
      <c r="F1" s="37" t="s">
        <v>3</v>
      </c>
      <c r="G1" s="37" t="s">
        <v>21</v>
      </c>
      <c r="H1" s="43" t="s">
        <v>28</v>
      </c>
      <c r="I1" s="57" t="s">
        <v>23</v>
      </c>
      <c r="J1" s="58"/>
      <c r="K1" s="61">
        <v>0</v>
      </c>
      <c r="L1" s="62"/>
    </row>
    <row r="2" spans="1:12" ht="20.05" customHeight="1">
      <c r="A2" s="40" t="s">
        <v>5</v>
      </c>
      <c r="B2" s="3" t="s">
        <v>41</v>
      </c>
      <c r="C2" s="14" t="s">
        <v>44</v>
      </c>
      <c r="D2" s="4">
        <f>SUM(股票明细!D2:D100)</f>
        <v>29000</v>
      </c>
      <c r="E2" s="5">
        <f>D2/$D$6</f>
        <v>0.28155339805825241</v>
      </c>
      <c r="F2" s="12">
        <f>E2-$J$4</f>
        <v>-0.11844660194174761</v>
      </c>
      <c r="G2" s="6" t="str">
        <f>IF(ABS(F2)&gt;$K$2, "⚠ 平衡", "✅ 正常")</f>
        <v>⚠ 平衡</v>
      </c>
      <c r="H2" s="4">
        <f>SUM(股票明细!E2:E100)</f>
        <v>29000</v>
      </c>
      <c r="I2" s="59" t="s">
        <v>0</v>
      </c>
      <c r="J2" s="60"/>
      <c r="K2" s="63">
        <v>0.1</v>
      </c>
      <c r="L2" s="64"/>
    </row>
    <row r="3" spans="1:12" ht="20.05" customHeight="1">
      <c r="A3" s="41" t="s">
        <v>6</v>
      </c>
      <c r="B3" s="48" t="s">
        <v>46</v>
      </c>
      <c r="C3" s="15" t="s">
        <v>43</v>
      </c>
      <c r="D3" s="4">
        <v>22000</v>
      </c>
      <c r="E3" s="8">
        <f>D3/$D$6</f>
        <v>0.21359223300970873</v>
      </c>
      <c r="F3" s="13">
        <f>E3-$J$5</f>
        <v>1.3592233009708715E-2</v>
      </c>
      <c r="G3" s="6" t="str">
        <f>IF(ABS(F3)&gt;$K$2, "⚠ 平衡", "✅ 正常")</f>
        <v>✅ 正常</v>
      </c>
      <c r="H3" s="4">
        <v>20000</v>
      </c>
      <c r="I3" s="54" t="s">
        <v>1</v>
      </c>
      <c r="J3" s="55"/>
      <c r="K3" s="55"/>
      <c r="L3" s="56"/>
    </row>
    <row r="4" spans="1:12" ht="20.05" customHeight="1">
      <c r="A4" s="40" t="s">
        <v>7</v>
      </c>
      <c r="B4" s="3" t="s">
        <v>7</v>
      </c>
      <c r="C4" s="14" t="s">
        <v>43</v>
      </c>
      <c r="D4" s="4">
        <v>2000</v>
      </c>
      <c r="E4" s="5">
        <f>D4/$D$6</f>
        <v>1.9417475728155338E-2</v>
      </c>
      <c r="F4" s="12">
        <f>E4-$K$4</f>
        <v>-8.0582524271844674E-2</v>
      </c>
      <c r="G4" s="6" t="str">
        <f>IF(ABS(F4)&gt;$K$2, "⚠ 平衡", "✅ 正常")</f>
        <v>✅ 正常</v>
      </c>
      <c r="H4" s="4">
        <v>2000</v>
      </c>
      <c r="I4" s="24" t="s">
        <v>5</v>
      </c>
      <c r="J4" s="10">
        <v>0.4</v>
      </c>
      <c r="K4" s="10">
        <v>0.1</v>
      </c>
      <c r="L4" s="25" t="s">
        <v>7</v>
      </c>
    </row>
    <row r="5" spans="1:12" ht="20.05" customHeight="1" thickBot="1">
      <c r="A5" s="41" t="s">
        <v>8</v>
      </c>
      <c r="B5" s="7" t="s">
        <v>42</v>
      </c>
      <c r="C5" s="15" t="s">
        <v>43</v>
      </c>
      <c r="D5" s="4">
        <f>H5</f>
        <v>50000</v>
      </c>
      <c r="E5" s="8">
        <f>D5/$D$6</f>
        <v>0.4854368932038835</v>
      </c>
      <c r="F5" s="13">
        <f>E5-$K$5</f>
        <v>0.18543689320388351</v>
      </c>
      <c r="G5" s="6" t="str">
        <f>IF(ABS(F5)&gt;$K$2, "⚠ 平衡", "✅ 正常")</f>
        <v>⚠ 平衡</v>
      </c>
      <c r="H5" s="4">
        <v>50000</v>
      </c>
      <c r="I5" s="26" t="s">
        <v>6</v>
      </c>
      <c r="J5" s="27">
        <v>0.2</v>
      </c>
      <c r="K5" s="27">
        <v>0.3</v>
      </c>
      <c r="L5" s="28" t="s">
        <v>8</v>
      </c>
    </row>
    <row r="6" spans="1:12" ht="20.05" customHeight="1">
      <c r="A6" s="65" t="s">
        <v>19</v>
      </c>
      <c r="B6" s="66"/>
      <c r="C6" s="66"/>
      <c r="D6" s="9">
        <f>SUM(D2:D5)</f>
        <v>103000</v>
      </c>
      <c r="E6" s="11" t="s">
        <v>22</v>
      </c>
      <c r="F6" s="42">
        <f>SUM(ABS(F2),ABS(F3),ABS(F4),ABS(F5))</f>
        <v>0.39805825242718451</v>
      </c>
      <c r="G6" s="11"/>
      <c r="H6" s="29">
        <f>SUM(H2:H5)</f>
        <v>101000</v>
      </c>
      <c r="I6" s="16"/>
      <c r="J6" s="17"/>
      <c r="K6" s="17"/>
      <c r="L6" s="18"/>
    </row>
    <row r="7" spans="1:12" ht="20.05" customHeight="1" thickBot="1">
      <c r="A7" s="49" t="s">
        <v>20</v>
      </c>
      <c r="B7" s="50"/>
      <c r="C7" s="50"/>
      <c r="D7" s="30">
        <f>D6-H6</f>
        <v>2000</v>
      </c>
      <c r="E7" s="51" t="s">
        <v>18</v>
      </c>
      <c r="F7" s="52"/>
      <c r="G7" s="53"/>
      <c r="H7" s="31">
        <f>D7/H6</f>
        <v>1.9801980198019802E-2</v>
      </c>
      <c r="I7" s="19"/>
      <c r="L7" s="20"/>
    </row>
    <row r="8" spans="1:12" ht="16" customHeight="1">
      <c r="A8" s="70" t="s">
        <v>40</v>
      </c>
      <c r="B8" s="71"/>
      <c r="C8" s="71"/>
      <c r="D8" s="71"/>
      <c r="E8" s="71"/>
      <c r="F8" s="71"/>
      <c r="G8" s="71"/>
      <c r="H8" s="72"/>
      <c r="I8" s="19"/>
      <c r="L8" s="20"/>
    </row>
    <row r="9" spans="1:12" ht="16" customHeight="1">
      <c r="A9" s="73" t="s">
        <v>24</v>
      </c>
      <c r="B9" s="74"/>
      <c r="C9" s="74"/>
      <c r="D9" s="74"/>
      <c r="E9" s="74"/>
      <c r="F9" s="74"/>
      <c r="G9" s="74"/>
      <c r="H9" s="75"/>
      <c r="I9" s="19"/>
      <c r="L9" s="20"/>
    </row>
    <row r="10" spans="1:12" ht="16" customHeight="1">
      <c r="A10" s="73" t="s">
        <v>25</v>
      </c>
      <c r="B10" s="74"/>
      <c r="C10" s="74"/>
      <c r="D10" s="74"/>
      <c r="E10" s="74"/>
      <c r="F10" s="74"/>
      <c r="G10" s="74"/>
      <c r="H10" s="75"/>
      <c r="I10" s="19"/>
      <c r="L10" s="20"/>
    </row>
    <row r="11" spans="1:12" ht="16" customHeight="1">
      <c r="A11" s="73" t="s">
        <v>45</v>
      </c>
      <c r="B11" s="74"/>
      <c r="C11" s="74"/>
      <c r="D11" s="74"/>
      <c r="E11" s="74"/>
      <c r="F11" s="74"/>
      <c r="G11" s="74"/>
      <c r="H11" s="75"/>
      <c r="I11" s="19"/>
      <c r="L11" s="20"/>
    </row>
    <row r="12" spans="1:12" ht="16" customHeight="1">
      <c r="A12" s="73" t="s">
        <v>26</v>
      </c>
      <c r="B12" s="74"/>
      <c r="C12" s="74"/>
      <c r="D12" s="74"/>
      <c r="E12" s="74"/>
      <c r="F12" s="74"/>
      <c r="G12" s="74"/>
      <c r="H12" s="75"/>
      <c r="I12" s="19"/>
      <c r="L12" s="20"/>
    </row>
    <row r="13" spans="1:12" ht="16" customHeight="1" thickBot="1">
      <c r="A13" s="67" t="s">
        <v>27</v>
      </c>
      <c r="B13" s="68"/>
      <c r="C13" s="68"/>
      <c r="D13" s="68"/>
      <c r="E13" s="68"/>
      <c r="F13" s="68"/>
      <c r="G13" s="68"/>
      <c r="H13" s="69"/>
      <c r="I13" s="21"/>
      <c r="J13" s="22"/>
      <c r="K13" s="22"/>
      <c r="L13" s="23"/>
    </row>
  </sheetData>
  <mergeCells count="14">
    <mergeCell ref="A13:H13"/>
    <mergeCell ref="A8:H8"/>
    <mergeCell ref="A9:H9"/>
    <mergeCell ref="A10:H10"/>
    <mergeCell ref="A11:H11"/>
    <mergeCell ref="A12:H12"/>
    <mergeCell ref="A7:C7"/>
    <mergeCell ref="E7:G7"/>
    <mergeCell ref="I3:L3"/>
    <mergeCell ref="I1:J1"/>
    <mergeCell ref="I2:J2"/>
    <mergeCell ref="K1:L1"/>
    <mergeCell ref="K2:L2"/>
    <mergeCell ref="A6:C6"/>
  </mergeCells>
  <phoneticPr fontId="1" type="noConversion"/>
  <conditionalFormatting sqref="E2:E5">
    <cfRule type="dataBar" priority="11">
      <dataBar>
        <cfvo type="min"/>
        <cfvo type="max"/>
        <color rgb="FF6CC5FC"/>
      </dataBar>
      <extLst>
        <ext xmlns:x14="http://schemas.microsoft.com/office/spreadsheetml/2009/9/main" uri="{B025F937-C7B1-47D3-B67F-A62EFF666E3E}">
          <x14:id>{08418A55-B5B4-453F-9A99-6E9C52503BC5}</x14:id>
        </ext>
      </extLst>
    </cfRule>
  </conditionalFormatting>
  <conditionalFormatting sqref="F2:F5">
    <cfRule type="dataBar" priority="10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{DB42AF9E-2AA7-481F-842D-06DA46BA8F46}</x14:id>
        </ext>
      </extLst>
    </cfRule>
  </conditionalFormatting>
  <conditionalFormatting sqref="G2:G5">
    <cfRule type="containsText" dxfId="25" priority="8" operator="containsText" text="平衡">
      <formula>NOT(ISERROR(SEARCH("平衡",G2)))</formula>
    </cfRule>
    <cfRule type="containsText" dxfId="24" priority="9" operator="containsText" text="正常">
      <formula>NOT(ISERROR(SEARCH("正常",G2)))</formula>
    </cfRule>
  </conditionalFormatting>
  <conditionalFormatting sqref="D7 H7">
    <cfRule type="cellIs" dxfId="23" priority="6" operator="lessThan">
      <formula>0</formula>
    </cfRule>
    <cfRule type="cellIs" dxfId="22" priority="7" operator="greaterThanOrEqual">
      <formula>0</formula>
    </cfRule>
  </conditionalFormatting>
  <conditionalFormatting sqref="F6">
    <cfRule type="cellIs" dxfId="21" priority="12" operator="greaterThan">
      <formula>ABS($K$1)/$D$6</formula>
    </cfRule>
    <cfRule type="cellIs" dxfId="20" priority="13" operator="lessThanOrEqual">
      <formula>ABS($K$1)/$D$6</formula>
    </cfRule>
  </conditionalFormatting>
  <pageMargins left="0.7" right="0.7" top="0.75" bottom="0.75" header="0.3" footer="0.3"/>
  <pageSetup paperSize="9" scale="95" fitToHeight="0" orientation="landscape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418A55-B5B4-453F-9A99-6E9C52503B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E2:E5</xm:sqref>
        </x14:conditionalFormatting>
        <x14:conditionalFormatting xmlns:xm="http://schemas.microsoft.com/office/excel/2006/main">
          <x14:cfRule type="dataBar" id="{DB42AF9E-2AA7-481F-842D-06DA46BA8F46}">
            <x14:dataBar minLength="0" maxLength="100" gradient="0" negativeBarColorSameAsPositive="1">
              <x14:cfvo type="autoMin"/>
              <x14:cfvo type="autoMax"/>
              <x14:axisColor rgb="FF000000"/>
            </x14:dataBar>
          </x14:cfRule>
          <xm:sqref>F2:F5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8EA1F-BD00-4C9A-A652-DA5815874C59}">
  <sheetPr codeName="Sheet3"/>
  <dimension ref="A1"/>
  <sheetViews>
    <sheetView showGridLines="0" showRowColHeaders="0" zoomScaleNormal="100" workbookViewId="0">
      <selection activeCell="H34" sqref="H34"/>
    </sheetView>
  </sheetViews>
  <sheetFormatPr defaultColWidth="8.85546875" defaultRowHeight="14.15"/>
  <sheetData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FB60F-E1BB-FE42-8F4B-D714FB779C3F}">
  <sheetPr codeName="Sheet5"/>
  <dimension ref="A1"/>
  <sheetViews>
    <sheetView showGridLines="0" showRowColHeaders="0" zoomScaleNormal="100" workbookViewId="0">
      <selection activeCell="Q15" sqref="Q15"/>
    </sheetView>
  </sheetViews>
  <sheetFormatPr defaultColWidth="10.85546875" defaultRowHeight="14.15"/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2D4DA-8893-0548-B51F-9E5C3D610CCA}">
  <sheetPr codeName="Sheet4"/>
  <dimension ref="A1"/>
  <sheetViews>
    <sheetView showGridLines="0" showRowColHeaders="0" zoomScaleNormal="100" workbookViewId="0">
      <selection activeCell="Q17" sqref="Q17"/>
    </sheetView>
  </sheetViews>
  <sheetFormatPr defaultColWidth="10.85546875" defaultRowHeight="14.15"/>
  <sheetData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D301-0FF8-4058-A93B-8FF5E4D7946E}">
  <sheetPr codeName="Sheet2"/>
  <dimension ref="A1:Q2"/>
  <sheetViews>
    <sheetView showGridLines="0" zoomScale="85" zoomScaleNormal="85" workbookViewId="0">
      <selection activeCell="F8" sqref="F8"/>
    </sheetView>
  </sheetViews>
  <sheetFormatPr defaultColWidth="8.85546875" defaultRowHeight="20.149999999999999"/>
  <cols>
    <col min="1" max="1" width="25.140625" style="34" customWidth="1"/>
    <col min="2" max="5" width="18" style="35" bestFit="1" customWidth="1"/>
    <col min="6" max="6" width="17.85546875" style="35" bestFit="1" customWidth="1"/>
    <col min="7" max="7" width="18" style="35" bestFit="1" customWidth="1"/>
    <col min="8" max="8" width="18" bestFit="1" customWidth="1"/>
    <col min="9" max="9" width="18" style="35" bestFit="1" customWidth="1"/>
    <col min="10" max="10" width="18" style="34" bestFit="1" customWidth="1"/>
    <col min="11" max="11" width="16" style="34" bestFit="1" customWidth="1"/>
    <col min="12" max="15" width="12.640625" style="34" customWidth="1"/>
    <col min="16" max="16" width="15.35546875" style="34" bestFit="1" customWidth="1"/>
    <col min="17" max="17" width="12.85546875" style="34" bestFit="1" customWidth="1"/>
    <col min="18" max="16384" width="8.85546875" style="34"/>
  </cols>
  <sheetData>
    <row r="1" spans="1:17" s="33" customFormat="1">
      <c r="A1" s="32" t="s">
        <v>12</v>
      </c>
      <c r="B1" s="32" t="s">
        <v>13</v>
      </c>
      <c r="C1" s="32" t="s">
        <v>14</v>
      </c>
      <c r="D1" s="32" t="s">
        <v>15</v>
      </c>
      <c r="E1" s="32" t="s">
        <v>16</v>
      </c>
      <c r="F1" s="32" t="s">
        <v>17</v>
      </c>
      <c r="G1" s="32" t="s">
        <v>29</v>
      </c>
      <c r="H1" s="36" t="s">
        <v>30</v>
      </c>
      <c r="I1" s="36" t="s">
        <v>31</v>
      </c>
      <c r="J1" s="36" t="s">
        <v>32</v>
      </c>
      <c r="K1" s="36" t="s">
        <v>33</v>
      </c>
      <c r="L1" s="36" t="s">
        <v>34</v>
      </c>
      <c r="M1" s="36" t="s">
        <v>35</v>
      </c>
      <c r="N1" s="36" t="s">
        <v>36</v>
      </c>
      <c r="O1" s="36" t="s">
        <v>37</v>
      </c>
      <c r="P1" s="36" t="s">
        <v>38</v>
      </c>
      <c r="Q1" s="32" t="s">
        <v>39</v>
      </c>
    </row>
    <row r="2" spans="1:17">
      <c r="A2" s="44">
        <v>46056</v>
      </c>
      <c r="B2" s="45">
        <v>20000</v>
      </c>
      <c r="C2" s="45">
        <v>20000</v>
      </c>
      <c r="D2" s="45">
        <v>20000</v>
      </c>
      <c r="E2" s="45">
        <v>20000</v>
      </c>
      <c r="F2" s="45">
        <v>80000</v>
      </c>
      <c r="G2" s="45">
        <v>20000</v>
      </c>
      <c r="H2" s="46">
        <v>20000</v>
      </c>
      <c r="I2" s="35">
        <v>20000</v>
      </c>
      <c r="J2" s="34">
        <v>20000</v>
      </c>
      <c r="K2" s="34">
        <v>80000</v>
      </c>
      <c r="L2" s="47">
        <v>0</v>
      </c>
      <c r="M2" s="47">
        <v>0</v>
      </c>
      <c r="N2" s="47">
        <v>0</v>
      </c>
      <c r="O2" s="47">
        <v>0</v>
      </c>
      <c r="P2" s="47">
        <v>0</v>
      </c>
      <c r="Q2" s="47" t="e">
        <f>表5[[#This Row],[总收益]]-#REF!</f>
        <v>#REF!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2C3D4-E5F6-7890-ABCD-EF1234567890}">
  <dimension ref="A1:E5"/>
  <sheetViews>
    <sheetView zoomScale="160" zoomScaleNormal="160" workbookViewId="0">
      <selection activeCell="B2" sqref="B2"/>
    </sheetView>
  </sheetViews>
  <sheetFormatPr defaultRowHeight="14.15"/>
  <cols>
    <col min="1" max="1" width="12" customWidth="1"/>
    <col min="2" max="2" width="18" customWidth="1"/>
    <col min="3" max="3" width="12" customWidth="1"/>
    <col min="4" max="4" width="16" customWidth="1"/>
    <col min="5" max="5" width="14" customWidth="1"/>
  </cols>
  <sheetData>
    <row r="1" spans="1:5" ht="14.6" thickTop="1">
      <c r="A1" s="37" t="s">
        <v>47</v>
      </c>
      <c r="B1" s="37" t="s">
        <v>4</v>
      </c>
      <c r="C1" s="37" t="s">
        <v>10</v>
      </c>
      <c r="D1" s="37" t="s">
        <v>2</v>
      </c>
      <c r="E1" s="37" t="s">
        <v>28</v>
      </c>
    </row>
    <row r="2" spans="1:5">
      <c r="A2" t="s">
        <v>48</v>
      </c>
      <c r="B2" t="s">
        <v>53</v>
      </c>
      <c r="C2" t="s">
        <v>43</v>
      </c>
      <c r="D2">
        <v>4000</v>
      </c>
      <c r="E2">
        <v>4000</v>
      </c>
    </row>
    <row r="3" spans="1:5">
      <c r="A3" t="s">
        <v>49</v>
      </c>
      <c r="B3" t="s">
        <v>51</v>
      </c>
      <c r="C3" t="s">
        <v>56</v>
      </c>
      <c r="D3">
        <v>5000</v>
      </c>
      <c r="E3">
        <v>5000</v>
      </c>
    </row>
    <row r="4" spans="1:5">
      <c r="A4" t="s">
        <v>48</v>
      </c>
      <c r="B4" t="s">
        <v>51</v>
      </c>
      <c r="C4" t="s">
        <v>43</v>
      </c>
      <c r="D4">
        <v>10000</v>
      </c>
      <c r="E4">
        <v>10000</v>
      </c>
    </row>
    <row r="5" spans="1:5">
      <c r="A5" t="s">
        <v>50</v>
      </c>
      <c r="B5" t="s">
        <v>54</v>
      </c>
      <c r="C5" t="s">
        <v>55</v>
      </c>
      <c r="D5">
        <v>10000</v>
      </c>
      <c r="E5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Dashboard</vt:lpstr>
      <vt:lpstr>总资产</vt:lpstr>
      <vt:lpstr>各项收益率</vt:lpstr>
      <vt:lpstr>资产比例</vt:lpstr>
      <vt:lpstr>History</vt:lpstr>
      <vt:lpstr>股票明细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a43337</dc:creator>
  <cp:lastModifiedBy>raisei Ra</cp:lastModifiedBy>
  <cp:lastPrinted>2026-01-07T13:10:55Z</cp:lastPrinted>
  <dcterms:created xsi:type="dcterms:W3CDTF">2025-12-16T03:34:18Z</dcterms:created>
  <dcterms:modified xsi:type="dcterms:W3CDTF">2026-02-23T05:30:48Z</dcterms:modified>
</cp:coreProperties>
</file>